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D Validation" sheetId="1" r:id="rId5"/>
  </sheets>
  <definedNames/>
  <calcPr/>
</workbook>
</file>

<file path=xl/sharedStrings.xml><?xml version="1.0" encoding="utf-8"?>
<sst xmlns="http://schemas.openxmlformats.org/spreadsheetml/2006/main" count="39" uniqueCount="35">
  <si>
    <t>Pokemon</t>
  </si>
  <si>
    <t>HP</t>
  </si>
  <si>
    <t>Attack</t>
  </si>
  <si>
    <t>Defense</t>
  </si>
  <si>
    <t>Speed</t>
  </si>
  <si>
    <t>Height</t>
  </si>
  <si>
    <t>Weight</t>
  </si>
  <si>
    <t>Type1</t>
  </si>
  <si>
    <t>Type2</t>
  </si>
  <si>
    <t>Fcat</t>
  </si>
  <si>
    <t>Mtipo</t>
  </si>
  <si>
    <t>IAD Manual</t>
  </si>
  <si>
    <t>IAD App</t>
  </si>
  <si>
    <t>Match?</t>
  </si>
  <si>
    <t>Bulbasaur</t>
  </si>
  <si>
    <t>grass</t>
  </si>
  <si>
    <t>poison</t>
  </si>
  <si>
    <t>Charmander</t>
  </si>
  <si>
    <t>fire</t>
  </si>
  <si>
    <t>Charizard</t>
  </si>
  <si>
    <t>flying</t>
  </si>
  <si>
    <t>Pikachu</t>
  </si>
  <si>
    <t>electric</t>
  </si>
  <si>
    <t>Onix</t>
  </si>
  <si>
    <t>rock</t>
  </si>
  <si>
    <t>ground</t>
  </si>
  <si>
    <t>Eevee</t>
  </si>
  <si>
    <t>normal</t>
  </si>
  <si>
    <t>Snorlax</t>
  </si>
  <si>
    <t>Dragonite</t>
  </si>
  <si>
    <t>dragon</t>
  </si>
  <si>
    <t>Mewtwo</t>
  </si>
  <si>
    <t>psychic</t>
  </si>
  <si>
    <t>Skarmory</t>
  </si>
  <si>
    <t>steel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</si>
</sst>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  <tableStyles count="1">
    <tableStyle count="3" pivot="0" name="IAD Valid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1" displayName="Table_1" name="Table_1" id="1">
  <tableColumns count="14">
    <tableColumn name="Pokemon" id="1"/>
    <tableColumn name="HP" id="2"/>
    <tableColumn name="Attack" id="3"/>
    <tableColumn name="Defense" id="4"/>
    <tableColumn name="Speed" id="5"/>
    <tableColumn name="Height" id="6"/>
    <tableColumn name="Weight" id="7"/>
    <tableColumn name="Type1" id="8"/>
    <tableColumn name="Type2" id="9"/>
    <tableColumn name="Fcat" id="10"/>
    <tableColumn name="Mtipo" id="11"/>
    <tableColumn name="IAD Manual" id="12"/>
    <tableColumn name="IAD App" id="13"/>
    <tableColumn name="Match?" id="14"/>
  </tableColumns>
  <tableStyleInfo name="IAD Valid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5" width="8.0"/>
    <col customWidth="1" min="6" max="7" width="10.0"/>
    <col customWidth="1" min="8" max="9" width="12.0"/>
    <col customWidth="1" min="10" max="11" width="10.0"/>
    <col customWidth="1" min="12" max="13" width="12.0"/>
    <col customWidth="1" min="14" max="14" width="10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45.0</v>
      </c>
      <c r="C2" s="2">
        <v>49.0</v>
      </c>
      <c r="D2" s="2">
        <v>49.0</v>
      </c>
      <c r="E2" s="2">
        <v>45.0</v>
      </c>
      <c r="F2" s="2">
        <v>7.0</v>
      </c>
      <c r="G2" s="2">
        <v>69.0</v>
      </c>
      <c r="H2" s="2" t="s">
        <v>15</v>
      </c>
      <c r="I2" s="2" t="s">
        <v>16</v>
      </c>
      <c r="J2" s="2">
        <f t="shared" ref="J2:J11" si="1">IF(H2="",0,IF(H2="dragon",10,IF(H2="ghost",10,IF(H2="steel",10,IF(H2="fire",8,IF(H2="water",8,IF(H2="electric",8,IF(H2="ice",8,IF(H2="fairy",8,IF(H2="grass",6,IF(H2="poison",6,IF(H2="ground",6,IF(H2="flying",6,IF(H2="psychic",6,IF(H2="dark",6,4)))))))))))))))+IF(I2="",0,IF(I2="dragon",10,IF(I2="ghost",10,IF(I2="steel",10,IF(I2="fire",8,IF(I2="water",8,IF(I2="electric",8,IF(I2="ice",8,IF(I2="fairy",8,IF(I2="grass",6,IF(I2="poison",6,IF(I2="ground",6,IF(I2="flying",6,IF(I2="psychic",6,IF(I2="dark",6,4)))))))))))))))</f>
        <v>12</v>
      </c>
      <c r="K2" s="2">
        <f t="shared" ref="K2:K11" si="2">IF(OR(H2="fire",H2="water",H2="electric"),1.35,IF(OR(H2="grass",H2="bug",H2="poison"),0.75,1))</f>
        <v>0.75</v>
      </c>
      <c r="L2" s="2">
        <f t="shared" ref="L2:L11" si="3">ROUND((((B2*J2)+(C2*E2))/((D2+1)*(F2+1))+G2)*K2,2)</f>
        <v>56.90</v>
      </c>
      <c r="M2" s="2">
        <v>56.90</v>
      </c>
      <c r="N2" s="2" t="str">
        <f t="shared" ref="N2:N11" si="4">IF(M2="","",IF(ABS(L2-M2)&lt;0.005,"OK","DIFF"))</f>
        <v>OK</v>
      </c>
    </row>
    <row r="3">
      <c r="A3" s="3" t="s">
        <v>17</v>
      </c>
      <c r="B3" s="3">
        <v>39.0</v>
      </c>
      <c r="C3" s="3">
        <v>52.0</v>
      </c>
      <c r="D3" s="3">
        <v>43.0</v>
      </c>
      <c r="E3" s="3">
        <v>65.0</v>
      </c>
      <c r="F3" s="3">
        <v>6.0</v>
      </c>
      <c r="G3" s="3">
        <v>85.0</v>
      </c>
      <c r="H3" s="3" t="s">
        <v>18</v>
      </c>
      <c r="I3" s="2"/>
      <c r="J3" s="2">
        <f t="shared" si="1"/>
        <v>8</v>
      </c>
      <c r="K3" s="2">
        <f t="shared" si="2"/>
        <v>1.35</v>
      </c>
      <c r="L3" s="2">
        <f t="shared" si="3"/>
        <v>130.93</v>
      </c>
      <c r="M3" s="3">
        <v>130.93</v>
      </c>
      <c r="N3" s="2" t="str">
        <f t="shared" si="4"/>
        <v>OK</v>
      </c>
    </row>
    <row r="4">
      <c r="A4" s="3" t="s">
        <v>19</v>
      </c>
      <c r="B4" s="3">
        <v>78.0</v>
      </c>
      <c r="C4" s="3">
        <v>84.0</v>
      </c>
      <c r="D4" s="3">
        <v>78.0</v>
      </c>
      <c r="E4" s="3">
        <v>100.0</v>
      </c>
      <c r="F4" s="3">
        <v>17.0</v>
      </c>
      <c r="G4" s="3">
        <v>905.0</v>
      </c>
      <c r="H4" s="3" t="s">
        <v>18</v>
      </c>
      <c r="I4" s="3" t="s">
        <v>20</v>
      </c>
      <c r="J4" s="2">
        <f t="shared" si="1"/>
        <v>14</v>
      </c>
      <c r="K4" s="2">
        <f t="shared" si="2"/>
        <v>1.35</v>
      </c>
      <c r="L4" s="2">
        <f t="shared" si="3"/>
        <v>1230.76</v>
      </c>
      <c r="M4" s="3">
        <v>1230.76</v>
      </c>
      <c r="N4" s="2" t="str">
        <f t="shared" si="4"/>
        <v>OK</v>
      </c>
    </row>
    <row r="5">
      <c r="A5" s="3" t="s">
        <v>21</v>
      </c>
      <c r="B5" s="3">
        <v>35.0</v>
      </c>
      <c r="C5" s="3">
        <v>55.0</v>
      </c>
      <c r="D5" s="3">
        <v>40.0</v>
      </c>
      <c r="E5" s="3">
        <v>90.0</v>
      </c>
      <c r="F5" s="3">
        <v>4.0</v>
      </c>
      <c r="G5" s="3">
        <v>60.0</v>
      </c>
      <c r="H5" s="3" t="s">
        <v>22</v>
      </c>
      <c r="I5" s="2"/>
      <c r="J5" s="2">
        <f t="shared" si="1"/>
        <v>8</v>
      </c>
      <c r="K5" s="2">
        <f t="shared" si="2"/>
        <v>1.35</v>
      </c>
      <c r="L5" s="2">
        <f t="shared" si="3"/>
        <v>115.44</v>
      </c>
      <c r="M5" s="3">
        <v>115.44</v>
      </c>
      <c r="N5" s="2" t="str">
        <f t="shared" si="4"/>
        <v>OK</v>
      </c>
    </row>
    <row r="6">
      <c r="A6" s="3" t="s">
        <v>23</v>
      </c>
      <c r="B6" s="3">
        <v>35.0</v>
      </c>
      <c r="C6" s="3">
        <v>45.0</v>
      </c>
      <c r="D6" s="3">
        <v>160.0</v>
      </c>
      <c r="E6" s="3">
        <v>70.0</v>
      </c>
      <c r="F6" s="3">
        <v>88.0</v>
      </c>
      <c r="G6" s="3">
        <v>2100.0</v>
      </c>
      <c r="H6" s="3" t="s">
        <v>24</v>
      </c>
      <c r="I6" s="3" t="s">
        <v>25</v>
      </c>
      <c r="J6" s="2">
        <f t="shared" si="1"/>
        <v>10</v>
      </c>
      <c r="K6" s="2">
        <f t="shared" si="2"/>
        <v>1</v>
      </c>
      <c r="L6" s="2">
        <f t="shared" si="3"/>
        <v>2100.24</v>
      </c>
      <c r="M6" s="3">
        <v>2100.24</v>
      </c>
      <c r="N6" s="2" t="str">
        <f t="shared" si="4"/>
        <v>OK</v>
      </c>
    </row>
    <row r="7">
      <c r="A7" s="3" t="s">
        <v>26</v>
      </c>
      <c r="B7" s="3">
        <v>55.0</v>
      </c>
      <c r="C7" s="3">
        <v>55.0</v>
      </c>
      <c r="D7" s="3">
        <v>50.0</v>
      </c>
      <c r="E7" s="3">
        <v>55.0</v>
      </c>
      <c r="F7" s="3">
        <v>3.0</v>
      </c>
      <c r="G7" s="3">
        <v>65.0</v>
      </c>
      <c r="H7" s="3" t="s">
        <v>27</v>
      </c>
      <c r="I7" s="2"/>
      <c r="J7" s="2">
        <f t="shared" si="1"/>
        <v>4</v>
      </c>
      <c r="K7" s="2">
        <f t="shared" si="2"/>
        <v>1</v>
      </c>
      <c r="L7" s="2">
        <f t="shared" si="3"/>
        <v>80.91</v>
      </c>
      <c r="M7" s="3">
        <v>80.91</v>
      </c>
      <c r="N7" s="2" t="str">
        <f t="shared" si="4"/>
        <v>OK</v>
      </c>
    </row>
    <row r="8">
      <c r="A8" s="3" t="s">
        <v>28</v>
      </c>
      <c r="B8" s="3">
        <v>160.0</v>
      </c>
      <c r="C8" s="3">
        <v>110.0</v>
      </c>
      <c r="D8" s="3">
        <v>65.0</v>
      </c>
      <c r="E8" s="3">
        <v>30.0</v>
      </c>
      <c r="F8" s="3">
        <v>21.0</v>
      </c>
      <c r="G8" s="3">
        <v>4600.0</v>
      </c>
      <c r="H8" s="3" t="s">
        <v>27</v>
      </c>
      <c r="I8" s="2"/>
      <c r="J8" s="2">
        <f t="shared" si="1"/>
        <v>4</v>
      </c>
      <c r="K8" s="2">
        <f t="shared" si="2"/>
        <v>1</v>
      </c>
      <c r="L8" s="2">
        <f t="shared" si="3"/>
        <v>4602.71</v>
      </c>
      <c r="M8" s="3">
        <v>4602.71</v>
      </c>
      <c r="N8" s="2" t="str">
        <f t="shared" si="4"/>
        <v>OK</v>
      </c>
    </row>
    <row r="9">
      <c r="A9" s="3" t="s">
        <v>29</v>
      </c>
      <c r="B9" s="3">
        <v>91.0</v>
      </c>
      <c r="C9" s="3">
        <v>134.0</v>
      </c>
      <c r="D9" s="3">
        <v>95.0</v>
      </c>
      <c r="E9" s="3">
        <v>80.0</v>
      </c>
      <c r="F9" s="3">
        <v>22.0</v>
      </c>
      <c r="G9" s="3">
        <v>2100.0</v>
      </c>
      <c r="H9" s="3" t="s">
        <v>30</v>
      </c>
      <c r="I9" s="3" t="s">
        <v>20</v>
      </c>
      <c r="J9" s="2">
        <f t="shared" si="1"/>
        <v>16</v>
      </c>
      <c r="K9" s="2">
        <f t="shared" si="2"/>
        <v>1</v>
      </c>
      <c r="L9" s="2">
        <f t="shared" si="3"/>
        <v>2105.51</v>
      </c>
      <c r="M9" s="3">
        <v>2105.51</v>
      </c>
      <c r="N9" s="2" t="str">
        <f t="shared" si="4"/>
        <v>OK</v>
      </c>
    </row>
    <row r="10">
      <c r="A10" s="3" t="s">
        <v>31</v>
      </c>
      <c r="B10" s="3">
        <v>106.0</v>
      </c>
      <c r="C10" s="3">
        <v>110.0</v>
      </c>
      <c r="D10" s="3">
        <v>90.0</v>
      </c>
      <c r="E10" s="3">
        <v>130.0</v>
      </c>
      <c r="F10" s="3">
        <v>20.0</v>
      </c>
      <c r="G10" s="3">
        <v>1220.0</v>
      </c>
      <c r="H10" s="3" t="s">
        <v>32</v>
      </c>
      <c r="I10" s="2"/>
      <c r="J10" s="2">
        <f t="shared" si="1"/>
        <v>6</v>
      </c>
      <c r="K10" s="2">
        <f t="shared" si="2"/>
        <v>1</v>
      </c>
      <c r="L10" s="2">
        <f t="shared" si="3"/>
        <v>1227.82</v>
      </c>
      <c r="M10" s="3">
        <v>1227.82</v>
      </c>
      <c r="N10" s="2" t="str">
        <f t="shared" si="4"/>
        <v>OK</v>
      </c>
    </row>
    <row r="11">
      <c r="A11" s="3" t="s">
        <v>33</v>
      </c>
      <c r="B11" s="3">
        <v>65.0</v>
      </c>
      <c r="C11" s="3">
        <v>80.0</v>
      </c>
      <c r="D11" s="3">
        <v>140.0</v>
      </c>
      <c r="E11" s="3">
        <v>70.0</v>
      </c>
      <c r="F11" s="3">
        <v>17.0</v>
      </c>
      <c r="G11" s="3">
        <v>505.0</v>
      </c>
      <c r="H11" s="3" t="s">
        <v>34</v>
      </c>
      <c r="I11" s="3" t="s">
        <v>20</v>
      </c>
      <c r="J11" s="2">
        <f t="shared" si="1"/>
        <v>16</v>
      </c>
      <c r="K11" s="2">
        <f t="shared" si="2"/>
        <v>1</v>
      </c>
      <c r="L11" s="2">
        <f t="shared" si="3"/>
        <v>507.62</v>
      </c>
      <c r="M11" s="3">
        <v>507.62</v>
      </c>
      <c r="N11" s="2" t="str">
        <f t="shared" si="4"/>
        <v>OK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conditionalFormatting sqref="N2:N11">
    <cfRule type="expression" dxfId="4" priority="1">
      <formula>N2="OK"</formula>
    </cfRule>
  </conditionalFormatting>
  <conditionalFormatting sqref="N2:N11">
    <cfRule type="expression" dxfId="5" priority="2">
      <formula>N2="DIFF"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